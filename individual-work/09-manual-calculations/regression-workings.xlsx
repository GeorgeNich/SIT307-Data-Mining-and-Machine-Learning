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C:\Users\Georg\Google Drive\Computer Science\Year 4 T1\Data Mining and Machine Learning\Week 7\"/>
    </mc:Choice>
  </mc:AlternateContent>
  <xr:revisionPtr revIDLastSave="0" documentId="13_ncr:1_{EFB73FF7-E00F-4D59-9365-289F733E6862}" xr6:coauthVersionLast="47" xr6:coauthVersionMax="47" xr10:uidLastSave="{00000000-0000-0000-0000-000000000000}"/>
  <bookViews>
    <workbookView xWindow="51480" yWindow="4050" windowWidth="29040" windowHeight="15720" xr2:uid="{2B51DC06-843C-4AE7-8C2D-52B19CB7BB1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D36" i="1" l="1"/>
  <c r="D39" i="1"/>
  <c r="D40" i="1"/>
  <c r="E40" i="1"/>
  <c r="E39" i="1"/>
  <c r="D37" i="1"/>
  <c r="D32" i="1"/>
  <c r="D34" i="1"/>
  <c r="D33" i="1"/>
  <c r="D31" i="1"/>
  <c r="E26" i="1"/>
  <c r="D24" i="1"/>
  <c r="D23" i="1"/>
  <c r="D22" i="1"/>
  <c r="D21" i="1"/>
  <c r="D20" i="1"/>
</calcChain>
</file>

<file path=xl/sharedStrings.xml><?xml version="1.0" encoding="utf-8"?>
<sst xmlns="http://schemas.openxmlformats.org/spreadsheetml/2006/main" count="26" uniqueCount="22">
  <si>
    <t>House Size</t>
  </si>
  <si>
    <t>Price</t>
  </si>
  <si>
    <t>B(0)</t>
  </si>
  <si>
    <t>B(1)</t>
  </si>
  <si>
    <t>J = [sum over all points(Price(i) - beta0 - beta1*HouseSize(i))^2]/(2*no. Of points)</t>
  </si>
  <si>
    <t>Step 1</t>
  </si>
  <si>
    <t>Step 2</t>
  </si>
  <si>
    <t>Step 3</t>
  </si>
  <si>
    <t>step 4</t>
  </si>
  <si>
    <t>step 5</t>
  </si>
  <si>
    <t>Final Number</t>
  </si>
  <si>
    <t>A</t>
  </si>
  <si>
    <t>B</t>
  </si>
  <si>
    <t>hb(2104)</t>
  </si>
  <si>
    <t>hb(1600)</t>
  </si>
  <si>
    <t>hb(2400)</t>
  </si>
  <si>
    <t>hb(1416)</t>
  </si>
  <si>
    <t>predicted price</t>
  </si>
  <si>
    <t>new values of B</t>
  </si>
  <si>
    <t xml:space="preserve">the new values are extremely far-reaching compared to the mentioned values, this could be due to an incorrect learning rate and thus since we didn’t normalise and transform the dataset now we have issues with calculating the correct learning rate due to the amount of </t>
  </si>
  <si>
    <t>mathematical processes the data has already been throguh as opposed to doing it prior</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</si>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</sst>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333333"/>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342900</xdr:colOff>
      <xdr:row>4</xdr:row>
      <xdr:rowOff>66675</xdr:rowOff>
    </xdr:from>
    <xdr:to>
      <xdr:col>23</xdr:col>
      <xdr:colOff>115205</xdr:colOff>
      <xdr:row>27</xdr:row>
      <xdr:rowOff>57760</xdr:rowOff>
    </xdr:to>
    <xdr:pic>
      <xdr:nvPicPr>
        <xdr:cNvPr id="2" name="Picture 1">
          <a:extLst>
            <a:ext uri="{FF2B5EF4-FFF2-40B4-BE49-F238E27FC236}">
              <a16:creationId xmlns:a16="http://schemas.microsoft.com/office/drawing/2014/main" id="{2056922F-02D7-05AD-4B23-C7EB5844C543}"/>
            </a:ext>
          </a:extLst>
        </xdr:cNvPr>
        <xdr:cNvPicPr>
          <a:picLocks noChangeAspect="1"/>
        </xdr:cNvPicPr>
      </xdr:nvPicPr>
      <xdr:blipFill>
        <a:blip xmlns:r="http://schemas.openxmlformats.org/officeDocument/2006/relationships" r:embed="rId1"/>
        <a:stretch>
          <a:fillRect/>
        </a:stretch>
      </xdr:blipFill>
      <xdr:spPr>
        <a:xfrm>
          <a:off x="7753350" y="828675"/>
          <a:ext cx="6477904" cy="43725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105FA-6045-4967-BF6A-164ACCC85502}">
  <dimension ref="A7:K44"/>
  <sheetViews>
    <sheetView tabSelected="1" zoomScale="55" zoomScaleNormal="55" workbookViewId="0">
      <selection activeCell="V34" sqref="V34"/>
    </sheetView>
  </sheetViews>
  <sheetFormatPr defaultRowHeight="15" x14ac:dyDescent="0.25"/>
  <cols>
    <col min="3" max="3" width="17.28515625" customWidth="1"/>
    <col min="4" max="4" width="46.5703125" customWidth="1"/>
    <col min="5" max="5" width="13.140625" bestFit="1" customWidth="1"/>
    <col min="6" max="6" width="15" bestFit="1" customWidth="1"/>
  </cols>
  <sheetData>
    <row r="7" spans="1:5" x14ac:dyDescent="0.25">
      <c r="D7" t="s">
        <v>0</v>
      </c>
      <c r="E7" t="s">
        <v>1</v>
      </c>
    </row>
    <row r="8" spans="1:5" x14ac:dyDescent="0.25">
      <c r="D8">
        <v>2104</v>
      </c>
      <c r="E8">
        <v>399900</v>
      </c>
    </row>
    <row r="9" spans="1:5" x14ac:dyDescent="0.25">
      <c r="D9">
        <v>1600</v>
      </c>
      <c r="E9">
        <v>329900</v>
      </c>
    </row>
    <row r="10" spans="1:5" x14ac:dyDescent="0.25">
      <c r="D10">
        <v>2400</v>
      </c>
      <c r="E10">
        <v>369000</v>
      </c>
    </row>
    <row r="11" spans="1:5" x14ac:dyDescent="0.25">
      <c r="D11">
        <v>1416</v>
      </c>
      <c r="E11">
        <v>232000</v>
      </c>
    </row>
    <row r="12" spans="1:5" x14ac:dyDescent="0.25">
      <c r="A12" t="s">
        <v>11</v>
      </c>
    </row>
    <row r="14" spans="1:5" x14ac:dyDescent="0.25">
      <c r="D14" t="s">
        <v>2</v>
      </c>
      <c r="E14">
        <v>80000</v>
      </c>
    </row>
    <row r="15" spans="1:5" x14ac:dyDescent="0.25">
      <c r="D15" t="s">
        <v>3</v>
      </c>
      <c r="E15">
        <v>100</v>
      </c>
    </row>
    <row r="18" spans="1:11" x14ac:dyDescent="0.25">
      <c r="D18" s="2" t="s">
        <v>4</v>
      </c>
      <c r="E18" s="2"/>
      <c r="F18" s="2"/>
      <c r="G18" s="2"/>
      <c r="H18" s="2"/>
      <c r="I18" s="2"/>
      <c r="J18" s="2"/>
      <c r="K18" s="2"/>
    </row>
    <row r="20" spans="1:11" x14ac:dyDescent="0.25">
      <c r="C20" t="s">
        <v>5</v>
      </c>
      <c r="D20">
        <f>(E8-E14-E15*D8)^2</f>
        <v>11990250000</v>
      </c>
    </row>
    <row r="21" spans="1:11" x14ac:dyDescent="0.25">
      <c r="C21" t="s">
        <v>6</v>
      </c>
      <c r="D21">
        <f>(E9-E14-E15*D9)^2</f>
        <v>8082010000</v>
      </c>
    </row>
    <row r="22" spans="1:11" x14ac:dyDescent="0.25">
      <c r="C22" t="s">
        <v>7</v>
      </c>
      <c r="D22">
        <f>(E10-E14-E15*D10)^2</f>
        <v>2401000000</v>
      </c>
    </row>
    <row r="23" spans="1:11" x14ac:dyDescent="0.25">
      <c r="C23" t="s">
        <v>8</v>
      </c>
      <c r="D23">
        <f>(E11-E14-E15*D11)^2</f>
        <v>108160000</v>
      </c>
    </row>
    <row r="24" spans="1:11" x14ac:dyDescent="0.25">
      <c r="C24" t="s">
        <v>9</v>
      </c>
      <c r="D24">
        <f>(2*4)</f>
        <v>8</v>
      </c>
    </row>
    <row r="26" spans="1:11" x14ac:dyDescent="0.25">
      <c r="D26" t="s">
        <v>10</v>
      </c>
      <c r="E26">
        <f>D20+D21+D22+D23/D24</f>
        <v>22486780000</v>
      </c>
    </row>
    <row r="30" spans="1:11" x14ac:dyDescent="0.25">
      <c r="A30" t="s">
        <v>12</v>
      </c>
      <c r="D30" t="s">
        <v>17</v>
      </c>
    </row>
    <row r="31" spans="1:11" x14ac:dyDescent="0.25">
      <c r="C31" t="s">
        <v>13</v>
      </c>
      <c r="D31">
        <f>$E$14+$E$15*D8</f>
        <v>290400</v>
      </c>
    </row>
    <row r="32" spans="1:11" x14ac:dyDescent="0.25">
      <c r="C32" t="s">
        <v>14</v>
      </c>
      <c r="D32">
        <f>$E$14+$E$15*D9</f>
        <v>240000</v>
      </c>
    </row>
    <row r="33" spans="1:6" x14ac:dyDescent="0.25">
      <c r="C33" t="s">
        <v>15</v>
      </c>
      <c r="D33">
        <f t="shared" ref="D33:D34" si="0">$E$14+$E$15*D10</f>
        <v>320000</v>
      </c>
    </row>
    <row r="34" spans="1:6" x14ac:dyDescent="0.25">
      <c r="C34" t="s">
        <v>16</v>
      </c>
      <c r="D34">
        <f t="shared" si="0"/>
        <v>221600</v>
      </c>
    </row>
    <row r="36" spans="1:6" x14ac:dyDescent="0.25">
      <c r="C36" t="s">
        <v>2</v>
      </c>
      <c r="D36">
        <f>(D31-E8)*1+(D32-E9)*1+(D33-E10)*1+(D34-E11)*1</f>
        <v>-258800</v>
      </c>
    </row>
    <row r="37" spans="1:6" x14ac:dyDescent="0.25">
      <c r="C37" t="s">
        <v>3</v>
      </c>
      <c r="D37">
        <f>(D31-E8)*D8+(D32-E9)*D9+(D33-E10)*D10+(D34-E11)*1416</f>
        <v>-506554400</v>
      </c>
    </row>
    <row r="38" spans="1:6" x14ac:dyDescent="0.25">
      <c r="F38" t="s">
        <v>18</v>
      </c>
    </row>
    <row r="39" spans="1:6" x14ac:dyDescent="0.25">
      <c r="C39" t="s">
        <v>2</v>
      </c>
      <c r="D39">
        <f>(0.1/4)*D36</f>
        <v>-6470</v>
      </c>
      <c r="E39">
        <f>+E14</f>
        <v>80000</v>
      </c>
      <c r="F39">
        <v>86470</v>
      </c>
    </row>
    <row r="40" spans="1:6" x14ac:dyDescent="0.25">
      <c r="C40" t="s">
        <v>3</v>
      </c>
      <c r="D40">
        <f>0.1/4*D37</f>
        <v>-12663860</v>
      </c>
      <c r="E40">
        <f>+E15</f>
        <v>100</v>
      </c>
      <c r="F40">
        <v>12663960</v>
      </c>
    </row>
    <row r="43" spans="1:6" x14ac:dyDescent="0.25">
      <c r="A43" t="s">
        <v>21</v>
      </c>
      <c r="C43" s="1" t="s">
        <v>19</v>
      </c>
    </row>
    <row r="44" spans="1:6" x14ac:dyDescent="0.25">
      <c r="C44" t="s">
        <v>20</v>
      </c>
    </row>
  </sheetData>
  <mergeCells count="1">
    <mergeCell ref="D18:K1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Nicholson</dc:creator>
  <cp:lastModifiedBy>George Nicholson</cp:lastModifiedBy>
  <dcterms:created xsi:type="dcterms:W3CDTF">2022-05-24T19:32:20Z</dcterms:created>
  <dcterms:modified xsi:type="dcterms:W3CDTF">2022-05-27T02:04:32Z</dcterms:modified>
</cp:coreProperties>
</file>