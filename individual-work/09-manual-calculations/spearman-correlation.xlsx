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13_ncr:1_{EA776BE4-4A3F-4B5B-B25D-E6EEE4D8E8B4}" xr6:coauthVersionLast="47" xr6:coauthVersionMax="47" xr10:uidLastSave="{00000000-0000-0000-0000-000000000000}"/>
  <bookViews>
    <workbookView xWindow="240" yWindow="345" windowWidth="38700" windowHeight="15345" xr2:uid="{48C627DA-7E4A-4073-ACA8-84B805F05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29" i="1"/>
  <c r="O26" i="1"/>
  <c r="F26" i="1"/>
  <c r="G26" i="1"/>
  <c r="H26" i="1"/>
  <c r="I26" i="1"/>
  <c r="J26" i="1"/>
  <c r="K26" i="1"/>
  <c r="L26" i="1"/>
  <c r="M26" i="1"/>
  <c r="N26" i="1"/>
  <c r="F25" i="1"/>
  <c r="G25" i="1"/>
  <c r="H25" i="1"/>
  <c r="I25" i="1"/>
  <c r="J25" i="1"/>
  <c r="K25" i="1"/>
  <c r="L25" i="1"/>
  <c r="M25" i="1"/>
  <c r="N25" i="1"/>
  <c r="E25" i="1"/>
  <c r="F24" i="1"/>
  <c r="G24" i="1"/>
  <c r="H24" i="1"/>
  <c r="I24" i="1"/>
  <c r="J24" i="1"/>
  <c r="K24" i="1"/>
  <c r="L24" i="1"/>
  <c r="M24" i="1"/>
  <c r="N24" i="1"/>
  <c r="E24" i="1"/>
  <c r="E23" i="1"/>
  <c r="F23" i="1"/>
  <c r="G23" i="1"/>
  <c r="H23" i="1"/>
  <c r="I23" i="1"/>
  <c r="J23" i="1"/>
  <c r="K23" i="1"/>
  <c r="L23" i="1"/>
  <c r="M23" i="1"/>
  <c r="N23" i="1"/>
  <c r="E26" i="1" l="1"/>
</calcChain>
</file>

<file path=xl/sharedStrings.xml><?xml version="1.0" encoding="utf-8"?>
<sst xmlns="http://schemas.openxmlformats.org/spreadsheetml/2006/main" count="11" uniqueCount="11">
  <si>
    <t>Exam</t>
  </si>
  <si>
    <t>English</t>
  </si>
  <si>
    <t>Physics</t>
  </si>
  <si>
    <t>Marks</t>
  </si>
  <si>
    <t>English Rank</t>
  </si>
  <si>
    <t>Physics Rank</t>
  </si>
  <si>
    <t>diff</t>
  </si>
  <si>
    <t>diff^2</t>
  </si>
  <si>
    <t>Pearsons of ranks</t>
  </si>
  <si>
    <t>Spearmans of ranks</t>
  </si>
  <si>
    <t>pearsons of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</si>
</sst>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6E3D-330E-4E13-BAA3-9D67D38B89DE}">
  <dimension ref="C7:P32"/>
  <sheetViews>
    <sheetView tabSelected="1" workbookViewId="0">
      <selection activeCell="F12" sqref="F12"/>
    </sheetView>
  </sheetViews>
  <sheetFormatPr defaultRowHeight="15" x14ac:dyDescent="0.25"/>
  <cols>
    <col min="4" max="4" width="12" bestFit="1" customWidth="1"/>
    <col min="14" max="14" width="18.140625" customWidth="1"/>
    <col min="18" max="18" width="10.5703125" bestFit="1" customWidth="1"/>
    <col min="19" max="19" width="17.7109375" customWidth="1"/>
  </cols>
  <sheetData>
    <row r="7" spans="3:16" x14ac:dyDescent="0.25">
      <c r="C7" s="5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5"/>
      <c r="P7" s="5"/>
    </row>
    <row r="8" spans="3:16" x14ac:dyDescent="0.25">
      <c r="C8" s="5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3:16" x14ac:dyDescent="0.25">
      <c r="C9" s="5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3:16" x14ac:dyDescent="0.25"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3:16" x14ac:dyDescent="0.25"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3:16" x14ac:dyDescent="0.25"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3:16" x14ac:dyDescent="0.2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20" spans="4:15" x14ac:dyDescent="0.25">
      <c r="D20" s="2" t="s">
        <v>0</v>
      </c>
      <c r="E20" s="3" t="s">
        <v>3</v>
      </c>
      <c r="F20" s="3"/>
      <c r="G20" s="3"/>
      <c r="H20" s="3"/>
      <c r="I20" s="3"/>
      <c r="J20" s="3"/>
      <c r="K20" s="3"/>
      <c r="L20" s="3"/>
      <c r="M20" s="3"/>
      <c r="N20" s="3"/>
    </row>
    <row r="21" spans="4:15" x14ac:dyDescent="0.25">
      <c r="D21" s="2" t="s">
        <v>1</v>
      </c>
      <c r="E21" s="1">
        <v>56</v>
      </c>
      <c r="F21" s="1">
        <v>75</v>
      </c>
      <c r="G21" s="1">
        <v>45</v>
      </c>
      <c r="H21" s="1">
        <v>71</v>
      </c>
      <c r="I21" s="1">
        <v>62</v>
      </c>
      <c r="J21" s="1">
        <v>64</v>
      </c>
      <c r="K21" s="1">
        <v>58</v>
      </c>
      <c r="L21" s="1">
        <v>80</v>
      </c>
      <c r="M21" s="1">
        <v>76</v>
      </c>
      <c r="N21" s="1">
        <v>61</v>
      </c>
    </row>
    <row r="22" spans="4:15" x14ac:dyDescent="0.25">
      <c r="D22" s="2" t="s">
        <v>2</v>
      </c>
      <c r="E22" s="1">
        <v>52</v>
      </c>
      <c r="F22" s="1">
        <v>51</v>
      </c>
      <c r="G22" s="1">
        <v>59</v>
      </c>
      <c r="H22" s="1">
        <v>74</v>
      </c>
      <c r="I22" s="1">
        <v>45</v>
      </c>
      <c r="J22" s="1">
        <v>56</v>
      </c>
      <c r="K22" s="1">
        <v>59</v>
      </c>
      <c r="L22" s="1">
        <v>92</v>
      </c>
      <c r="M22" s="1">
        <v>84</v>
      </c>
      <c r="N22" s="1">
        <v>63</v>
      </c>
    </row>
    <row r="23" spans="4:15" x14ac:dyDescent="0.25">
      <c r="D23" s="4" t="s">
        <v>4</v>
      </c>
      <c r="E23" s="5">
        <f>_xlfn.RANK.AVG(E21,$E$21:$N$21,1)</f>
        <v>2</v>
      </c>
      <c r="F23" s="5">
        <f t="shared" ref="F23:N23" si="0">_xlfn.RANK.AVG(F21,$E$21:$N$21,1)</f>
        <v>8</v>
      </c>
      <c r="G23" s="5">
        <f t="shared" si="0"/>
        <v>1</v>
      </c>
      <c r="H23" s="5">
        <f t="shared" si="0"/>
        <v>7</v>
      </c>
      <c r="I23" s="5">
        <f t="shared" si="0"/>
        <v>5</v>
      </c>
      <c r="J23" s="5">
        <f t="shared" si="0"/>
        <v>6</v>
      </c>
      <c r="K23" s="5">
        <f t="shared" si="0"/>
        <v>3</v>
      </c>
      <c r="L23" s="5">
        <f t="shared" si="0"/>
        <v>10</v>
      </c>
      <c r="M23" s="5">
        <f t="shared" si="0"/>
        <v>9</v>
      </c>
      <c r="N23" s="5">
        <f t="shared" si="0"/>
        <v>4</v>
      </c>
    </row>
    <row r="24" spans="4:15" x14ac:dyDescent="0.25">
      <c r="D24" s="4" t="s">
        <v>5</v>
      </c>
      <c r="E24" s="5">
        <f>_xlfn.RANK.AVG(E22,$E$22:$N$22,1)</f>
        <v>3</v>
      </c>
      <c r="F24" s="5">
        <f t="shared" ref="F24:N24" si="1">_xlfn.RANK.AVG(F22,$E$22:$N$22,1)</f>
        <v>2</v>
      </c>
      <c r="G24" s="5">
        <f t="shared" si="1"/>
        <v>5.5</v>
      </c>
      <c r="H24" s="5">
        <f t="shared" si="1"/>
        <v>8</v>
      </c>
      <c r="I24" s="5">
        <f t="shared" si="1"/>
        <v>1</v>
      </c>
      <c r="J24" s="5">
        <f t="shared" si="1"/>
        <v>4</v>
      </c>
      <c r="K24" s="5">
        <f t="shared" si="1"/>
        <v>5.5</v>
      </c>
      <c r="L24" s="5">
        <f t="shared" si="1"/>
        <v>10</v>
      </c>
      <c r="M24" s="5">
        <f t="shared" si="1"/>
        <v>9</v>
      </c>
      <c r="N24" s="5">
        <f t="shared" si="1"/>
        <v>7</v>
      </c>
    </row>
    <row r="25" spans="4:15" x14ac:dyDescent="0.25">
      <c r="D25" s="4" t="s">
        <v>6</v>
      </c>
      <c r="E25">
        <f>E23-E24</f>
        <v>-1</v>
      </c>
      <c r="F25">
        <f t="shared" ref="F25:N25" si="2">F23-F24</f>
        <v>6</v>
      </c>
      <c r="G25">
        <f t="shared" si="2"/>
        <v>-4.5</v>
      </c>
      <c r="H25">
        <f t="shared" si="2"/>
        <v>-1</v>
      </c>
      <c r="I25">
        <f t="shared" si="2"/>
        <v>4</v>
      </c>
      <c r="J25">
        <f t="shared" si="2"/>
        <v>2</v>
      </c>
      <c r="K25">
        <f t="shared" si="2"/>
        <v>-2.5</v>
      </c>
      <c r="L25">
        <f t="shared" si="2"/>
        <v>0</v>
      </c>
      <c r="M25">
        <f t="shared" si="2"/>
        <v>0</v>
      </c>
      <c r="N25">
        <f t="shared" si="2"/>
        <v>-3</v>
      </c>
    </row>
    <row r="26" spans="4:15" x14ac:dyDescent="0.25">
      <c r="D26" s="4" t="s">
        <v>7</v>
      </c>
      <c r="E26">
        <f>E25^2</f>
        <v>1</v>
      </c>
      <c r="F26">
        <f t="shared" ref="F26:N26" si="3">F25^2</f>
        <v>36</v>
      </c>
      <c r="G26">
        <f t="shared" si="3"/>
        <v>20.25</v>
      </c>
      <c r="H26">
        <f t="shared" si="3"/>
        <v>1</v>
      </c>
      <c r="I26">
        <f t="shared" si="3"/>
        <v>16</v>
      </c>
      <c r="J26">
        <f t="shared" si="3"/>
        <v>4</v>
      </c>
      <c r="K26">
        <f t="shared" si="3"/>
        <v>6.25</v>
      </c>
      <c r="L26">
        <f t="shared" si="3"/>
        <v>0</v>
      </c>
      <c r="M26">
        <f t="shared" si="3"/>
        <v>0</v>
      </c>
      <c r="N26">
        <f t="shared" si="3"/>
        <v>9</v>
      </c>
      <c r="O26">
        <f>SUM(E26:N26)</f>
        <v>93.5</v>
      </c>
    </row>
    <row r="29" spans="4:15" x14ac:dyDescent="0.25">
      <c r="N29" t="s">
        <v>10</v>
      </c>
      <c r="O29">
        <f>CORREL(E21:N21,E22:N22)</f>
        <v>0.60106758768602486</v>
      </c>
    </row>
    <row r="31" spans="4:15" x14ac:dyDescent="0.25">
      <c r="N31" t="s">
        <v>9</v>
      </c>
      <c r="O31">
        <f>1-6*O26/(10^3-13)</f>
        <v>0.43161094224924013</v>
      </c>
    </row>
    <row r="32" spans="4:15" x14ac:dyDescent="0.25">
      <c r="N32" t="s">
        <v>8</v>
      </c>
      <c r="O32">
        <f>CORREL(E23:N23,E24:N24)</f>
        <v>0.43161293601284589</v>
      </c>
    </row>
  </sheetData>
  <mergeCells count="2">
    <mergeCell ref="E7:N7"/>
    <mergeCell ref="E20:N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Nicholson</dc:creator>
  <cp:lastModifiedBy>George Nicholson</cp:lastModifiedBy>
  <dcterms:created xsi:type="dcterms:W3CDTF">2022-05-24T14:02:51Z</dcterms:created>
  <dcterms:modified xsi:type="dcterms:W3CDTF">2022-05-24T14:35:59Z</dcterms:modified>
</cp:coreProperties>
</file>